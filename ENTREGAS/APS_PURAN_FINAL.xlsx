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OPERACOES" sheetId="2" state="visible" r:id="rId2"/>
    <sheet name="MAQUINAS" sheetId="3" state="visible" r:id="rId3"/>
    <sheet name="PLANEJAMENTO" sheetId="4" state="visible" r:id="rId4"/>
    <sheet name="DADOS" sheetId="5" state="hidden" r:id="rId5"/>
    <sheet name="RECURSOS" sheetId="6" state="hidden" r:id="rId6"/>
    <sheet name="EVENTOS" sheetId="7" state="hidden" r:id="rId7"/>
    <sheet name="REFEICAO" sheetId="8" state="hidden" r:id="rId8"/>
    <sheet name="RESUMO" sheetId="9" state="hidden" r:id="rId9"/>
    <sheet name="CONFIG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1"/>
    </font>
    <font>
      <name val="Calibri"/>
      <b val="1"/>
      <color rgb="001F4E79"/>
      <sz val="2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1F4E78"/>
      <sz val="16"/>
    </font>
    <font>
      <name val="Calibri"/>
      <b val="1"/>
      <color rgb="00FFFFFF"/>
      <sz val="16"/>
    </font>
    <font>
      <name val="Calibri"/>
      <b val="1"/>
      <sz val="10"/>
    </font>
    <font/>
  </fonts>
  <fills count="1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  <fill>
      <patternFill patternType="solid">
        <fgColor rgb="00ED7D31"/>
        <bgColor rgb="00ED7D31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404040"/>
        <bgColor rgb="00404040"/>
      </patternFill>
    </fill>
    <fill>
      <patternFill patternType="solid">
        <fgColor rgb="00D9D9D9"/>
        <bgColor rgb="00D9D9D9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/>
      <top style="medium">
        <color rgb="002E75B6"/>
      </top>
      <bottom/>
      <diagonal/>
    </border>
    <border>
      <left/>
      <right style="medium">
        <color rgb="002E75B6"/>
      </right>
      <top style="medium">
        <color rgb="002E75B6"/>
      </top>
      <bottom/>
      <diagonal/>
    </border>
    <border>
      <left/>
      <right/>
      <top style="medium">
        <color rgb="002E75B6"/>
      </top>
      <bottom style="medium">
        <color rgb="002E75B6"/>
      </bottom>
      <diagonal/>
    </border>
    <border>
      <left/>
      <right style="medium">
        <color rgb="002E75B6"/>
      </right>
      <top style="medium">
        <color rgb="002E75B6"/>
      </top>
      <bottom style="medium">
        <color rgb="002E75B6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5" borderId="1" pivotButton="0" quotePrefix="0" xfId="0"/>
    <xf numFmtId="0" fontId="6" fillId="3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0" fillId="0" borderId="5" pivotButton="0" quotePrefix="0" xfId="0"/>
    <xf numFmtId="0" fontId="9" fillId="12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0" fillId="0" borderId="6" pivotButton="0" quotePrefix="0" xfId="0"/>
    <xf numFmtId="0" fontId="9" fillId="14" borderId="1" applyAlignment="1" pivotButton="0" quotePrefix="0" xfId="0">
      <alignment horizontal="center" vertical="center"/>
    </xf>
    <xf numFmtId="0" fontId="0" fillId="14" borderId="5" pivotButton="0" quotePrefix="0" xfId="0"/>
    <xf numFmtId="0" fontId="0" fillId="14" borderId="0" pivotButton="0" quotePrefix="0" xfId="0"/>
    <xf numFmtId="0" fontId="2" fillId="14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0" fillId="16" borderId="0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 vertical="center"/>
    </xf>
    <xf numFmtId="0" fontId="0" fillId="16" borderId="9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2" fontId="4" fillId="16" borderId="1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5" customHeight="1">
      <c r="A1" s="27" t="inlineStr">
        <is>
          <t>APS PURAN</t>
        </is>
      </c>
    </row>
    <row r="2" ht="20" customHeight="1">
      <c r="A2" s="28" t="inlineStr">
        <is>
          <t>Sistema de Planejamento e Controle da Produção  |  23/08/2026 05:43</t>
        </is>
      </c>
    </row>
    <row r="3" ht="22" customHeight="1">
      <c r="A3" s="29" t="inlineStr">
        <is>
          <t>STATUS: OPERACIONAL</t>
        </is>
      </c>
    </row>
    <row r="4" ht="25" customHeight="1">
      <c r="A4" s="30" t="n"/>
      <c r="C4" s="30" t="n"/>
      <c r="E4" s="30" t="n"/>
      <c r="G4" s="30" t="n"/>
    </row>
    <row r="5">
      <c r="A5" s="31" t="inlineStr">
        <is>
          <t>TOTAL DE OPs</t>
        </is>
      </c>
      <c r="B5" s="32" t="n"/>
      <c r="C5" s="31" t="inlineStr">
        <is>
          <t>EM PRODUÇÃO</t>
        </is>
      </c>
      <c r="D5" s="32" t="n"/>
      <c r="E5" s="31" t="inlineStr">
        <is>
          <t>ATRASADAS</t>
        </is>
      </c>
      <c r="F5" s="32" t="n"/>
      <c r="G5" s="31" t="inlineStr">
        <is>
          <t>CONCLUÍDAS</t>
        </is>
      </c>
      <c r="H5" s="32" t="n"/>
    </row>
    <row r="6" ht="25" customHeight="1">
      <c r="A6" s="8">
        <f>COUNTA(DADOS!A:A)-1</f>
        <v/>
      </c>
      <c r="B6" s="32" t="n"/>
      <c r="C6" s="8">
        <f>COUNTIF(DADOS!S:S,"EM PRODUÇÃO")</f>
        <v/>
      </c>
      <c r="D6" s="32" t="n"/>
      <c r="E6" s="8">
        <f>COUNTIF(DADOS!S:S,"ATRASADO")</f>
        <v/>
      </c>
      <c r="F6" s="32" t="n"/>
      <c r="G6" s="8">
        <f>COUNTIF(DADOS!S:S,"CONCLUÍDO")</f>
        <v/>
      </c>
      <c r="H6" s="32" t="n"/>
    </row>
    <row r="7">
      <c r="A7" s="33" t="n"/>
      <c r="C7" s="33" t="n"/>
      <c r="E7" s="33" t="n"/>
      <c r="G7" s="33" t="n"/>
    </row>
    <row r="8" ht="20" customHeight="1">
      <c r="A8" s="34" t="inlineStr">
        <is>
          <t>TOTAL CAIXAS</t>
        </is>
      </c>
      <c r="B8" s="35" t="n"/>
      <c r="C8" s="35" t="n"/>
      <c r="D8" s="35" t="n"/>
      <c r="E8" s="35" t="n"/>
      <c r="F8" s="35" t="n"/>
      <c r="G8" s="35" t="n"/>
      <c r="H8" s="32" t="n"/>
    </row>
    <row r="9">
      <c r="A9" s="36">
        <f>SUM(DADOS!F:F)</f>
        <v/>
      </c>
      <c r="B9" s="37" t="n"/>
      <c r="C9" s="36">
        <f>SUM(DADOS!P:P)</f>
        <v/>
      </c>
      <c r="D9" s="37" t="n"/>
      <c r="E9" s="36">
        <f>SUM(DADOS!T:T)</f>
        <v/>
      </c>
      <c r="F9" s="37" t="n"/>
      <c r="G9" s="36">
        <f>COUNTIF(DADOS!T:T,"&gt;0")</f>
        <v/>
      </c>
      <c r="H9" s="37" t="n"/>
    </row>
    <row r="10">
      <c r="A10" s="38" t="n"/>
      <c r="B10" s="38" t="n"/>
      <c r="C10" s="38" t="n"/>
      <c r="D10" s="38" t="n"/>
      <c r="E10" s="38" t="n"/>
      <c r="F10" s="38" t="n"/>
      <c r="G10" s="38" t="n"/>
      <c r="H10" s="38" t="n"/>
    </row>
    <row r="11" ht="22" customHeight="1">
      <c r="A11" s="39" t="inlineStr">
        <is>
          <t>ALERTAS E NOTIFICAÇÕES</t>
        </is>
      </c>
      <c r="B11" s="38" t="n"/>
      <c r="C11" s="38" t="n"/>
      <c r="D11" s="38" t="n"/>
      <c r="E11" s="38" t="n"/>
      <c r="F11" s="38" t="n"/>
      <c r="G11" s="38" t="n"/>
      <c r="H11" s="38" t="n"/>
    </row>
    <row r="12">
      <c r="A12" s="12" t="inlineStr">
        <is>
          <t>• Nenhuma alerta no momento</t>
        </is>
      </c>
      <c r="B12" s="35" t="n"/>
      <c r="C12" s="35" t="n"/>
      <c r="D12" s="35" t="n"/>
      <c r="E12" s="35" t="n"/>
      <c r="F12" s="35" t="n"/>
      <c r="G12" s="35" t="n"/>
      <c r="H12" s="32" t="n"/>
    </row>
    <row r="13" ht="20" customHeight="1">
      <c r="A13" s="40" t="inlineStr"/>
      <c r="B13" s="35" t="n"/>
      <c r="C13" s="35" t="n"/>
      <c r="D13" s="35" t="n"/>
      <c r="E13" s="35" t="n"/>
      <c r="F13" s="35" t="n"/>
      <c r="G13" s="35" t="n"/>
      <c r="H13" s="32" t="n"/>
    </row>
    <row r="14">
      <c r="A14" s="12" t="inlineStr">
        <is>
          <t>• O sistema está operacional</t>
        </is>
      </c>
      <c r="B14" s="35" t="n"/>
      <c r="C14" s="35" t="n"/>
      <c r="D14" s="35" t="n"/>
      <c r="E14" s="35" t="n"/>
      <c r="F14" s="35" t="n"/>
      <c r="G14" s="35" t="n"/>
      <c r="H14" s="32" t="n"/>
    </row>
    <row r="15">
      <c r="A15" s="12" t="inlineStr">
        <is>
          <t>• Clique nos botões abaixo para acessar as funcionalidades</t>
        </is>
      </c>
      <c r="B15" s="35" t="n"/>
      <c r="C15" s="35" t="n"/>
      <c r="D15" s="35" t="n"/>
      <c r="E15" s="35" t="n"/>
      <c r="F15" s="35" t="n"/>
      <c r="G15" s="35" t="n"/>
      <c r="H15" s="32" t="n"/>
    </row>
    <row r="18" ht="22" customHeight="1">
      <c r="A18" s="11" t="inlineStr">
        <is>
          <t>MENU PRINCIPAL</t>
        </is>
      </c>
    </row>
    <row r="20" ht="6.666666666666667" customHeight="1">
      <c r="A20" s="13" t="inlineStr">
        <is>
          <t>📅 PLANEJAMENTO</t>
        </is>
      </c>
      <c r="B20" s="41" t="n"/>
      <c r="C20" s="41" t="n"/>
      <c r="D20" s="42" t="n"/>
      <c r="E20" s="13" t="inlineStr">
        <is>
          <t>📋 OPERAÇÕES</t>
        </is>
      </c>
      <c r="F20" s="41" t="n"/>
      <c r="G20" s="41" t="n"/>
      <c r="H20" s="42" t="n"/>
    </row>
    <row r="22" ht="6.666666666666667" customHeight="1">
      <c r="A22" s="13" t="inlineStr">
        <is>
          <t>⚙ MÁQUINAS</t>
        </is>
      </c>
      <c r="B22" s="41" t="n"/>
      <c r="C22" s="41" t="n"/>
      <c r="D22" s="42" t="n"/>
      <c r="E22" s="13" t="inlineStr">
        <is>
          <t>🔎 PESQUISAR OP</t>
        </is>
      </c>
      <c r="F22" s="41" t="n"/>
      <c r="G22" s="41" t="n"/>
      <c r="H22" s="42" t="n"/>
    </row>
  </sheetData>
  <mergeCells count="30">
    <mergeCell ref="C6:D6"/>
    <mergeCell ref="A15:H15"/>
    <mergeCell ref="A22:D22"/>
    <mergeCell ref="A20:D20"/>
    <mergeCell ref="C5:D5"/>
    <mergeCell ref="E5:F5"/>
    <mergeCell ref="A11:H11"/>
    <mergeCell ref="A1:H1"/>
    <mergeCell ref="G8:H8"/>
    <mergeCell ref="E8:F8"/>
    <mergeCell ref="A6:B6"/>
    <mergeCell ref="E22:H22"/>
    <mergeCell ref="G6:H6"/>
    <mergeCell ref="C9:D9"/>
    <mergeCell ref="E9:F9"/>
    <mergeCell ref="A12:H12"/>
    <mergeCell ref="A18:H18"/>
    <mergeCell ref="A3:H3"/>
    <mergeCell ref="E6:F6"/>
    <mergeCell ref="A2:H2"/>
    <mergeCell ref="A5:B5"/>
    <mergeCell ref="G5:H5"/>
    <mergeCell ref="E20:H20"/>
    <mergeCell ref="A14:H14"/>
    <mergeCell ref="A8:B8"/>
    <mergeCell ref="A8:H8"/>
    <mergeCell ref="C8:D8"/>
    <mergeCell ref="A13:H13"/>
    <mergeCell ref="A9:B9"/>
    <mergeCell ref="G9:H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4"/>
  <sheetViews>
    <sheetView showGridLines="0" zoomScale="9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0" customWidth="1" min="21" max="21"/>
    <col width="12" customWidth="1" min="22" max="22"/>
    <col width="16" customWidth="1" min="23" max="23"/>
    <col width="16" customWidth="1" min="24" max="24"/>
    <col width="25" customWidth="1" min="25" max="25"/>
  </cols>
  <sheetData>
    <row r="1" ht="30" customHeight="1">
      <c r="A1" s="43" t="inlineStr">
        <is>
          <t>OPERAÇÕES</t>
        </is>
      </c>
    </row>
    <row r="2" ht="20" customHeight="1">
      <c r="A2" s="28" t="inlineStr">
        <is>
          <t>Gestão de ordens de produção</t>
        </is>
      </c>
    </row>
    <row r="4" ht="20" customHeight="1">
      <c r="A4" s="44" t="inlineStr">
        <is>
          <t>🔎 PESQUISAR OP</t>
        </is>
      </c>
    </row>
    <row r="5" ht="22" customHeight="1">
      <c r="A5" s="16" t="inlineStr">
        <is>
          <t>OP:</t>
        </is>
      </c>
      <c r="B5" s="17" t="n"/>
      <c r="C5" s="16" t="inlineStr">
        <is>
          <t>Produto:</t>
        </is>
      </c>
      <c r="D5" s="17" t="n"/>
      <c r="E5" s="16" t="inlineStr">
        <is>
          <t>Máquina:</t>
        </is>
      </c>
      <c r="F5" s="17" t="n"/>
      <c r="G5" s="16" t="inlineStr">
        <is>
          <t>Status:</t>
        </is>
      </c>
      <c r="H5" s="17" t="n"/>
    </row>
    <row r="6">
      <c r="A6" s="45" t="n"/>
    </row>
    <row r="7" ht="22" customHeight="1">
      <c r="A7" s="46" t="inlineStr">
        <is>
          <t>Numero da OP:</t>
        </is>
      </c>
      <c r="B7" s="47" t="n"/>
    </row>
    <row r="8" ht="22" customHeight="1">
      <c r="A8" s="48" t="inlineStr">
        <is>
          <t>Produto:</t>
        </is>
      </c>
      <c r="B8" s="49" t="n"/>
      <c r="C8" s="42" t="n"/>
      <c r="D8" s="18" t="inlineStr">
        <is>
          <t>🔄 ATUALIZAR</t>
        </is>
      </c>
      <c r="E8" s="41" t="n"/>
      <c r="F8" s="42" t="n"/>
      <c r="G8" s="18" t="inlineStr">
        <is>
          <t>← VOLTAR</t>
        </is>
      </c>
      <c r="H8" s="41" t="n"/>
      <c r="I8" s="42" t="n"/>
    </row>
    <row r="9" ht="22" customHeight="1">
      <c r="A9" s="50" t="inlineStr">
        <is>
          <t>Maquina:</t>
        </is>
      </c>
      <c r="B9" s="47" t="n"/>
    </row>
    <row r="10" ht="22" customHeight="1">
      <c r="A10" s="51" t="inlineStr">
        <is>
          <t>Quantidade:</t>
        </is>
      </c>
      <c r="B10" s="52" t="inlineStr">
        <is>
          <t>Produto</t>
        </is>
      </c>
      <c r="C10" s="4" t="inlineStr">
        <is>
          <t>Dosagem</t>
        </is>
      </c>
      <c r="D10" s="4" t="inlineStr">
        <is>
          <t>Quantidade</t>
        </is>
      </c>
      <c r="E10" s="4" t="inlineStr">
        <is>
          <t>Unidade</t>
        </is>
      </c>
      <c r="F10" s="4" t="inlineStr">
        <is>
          <t>Caixas</t>
        </is>
      </c>
      <c r="G10" s="4" t="inlineStr">
        <is>
          <t>Máquina</t>
        </is>
      </c>
      <c r="H10" s="4" t="inlineStr">
        <is>
          <t>Sequência</t>
        </is>
      </c>
      <c r="I10" s="4" t="inlineStr">
        <is>
          <t>Data Planejada</t>
        </is>
      </c>
      <c r="J10" s="4" t="inlineStr">
        <is>
          <t>Velocidade</t>
        </is>
      </c>
      <c r="K10" s="4" t="inlineStr">
        <is>
          <t>OEE</t>
        </is>
      </c>
      <c r="L10" s="4" t="inlineStr">
        <is>
          <t>Capacidade_h</t>
        </is>
      </c>
      <c r="M10" s="4" t="inlineStr">
        <is>
          <t>Produção_h</t>
        </is>
      </c>
      <c r="N10" s="4" t="inlineStr">
        <is>
          <t>Setup_h</t>
        </is>
      </c>
      <c r="O10" s="4" t="inlineStr">
        <is>
          <t>Duração Base_h</t>
        </is>
      </c>
      <c r="P10" s="4" t="inlineStr">
        <is>
          <t>Duração Total (h)</t>
        </is>
      </c>
      <c r="Q10" s="4" t="inlineStr">
        <is>
          <t>Início</t>
        </is>
      </c>
      <c r="R10" s="4" t="inlineStr">
        <is>
          <t>Fim</t>
        </is>
      </c>
      <c r="S10" s="4" t="inlineStr">
        <is>
          <t>Status</t>
        </is>
      </c>
      <c r="T10" s="4" t="inlineStr">
        <is>
          <t>Atraso_h</t>
        </is>
      </c>
      <c r="U10" s="4" t="inlineStr">
        <is>
          <t>Eventos_h</t>
        </is>
      </c>
      <c r="V10" s="4" t="inlineStr">
        <is>
          <t>Refeição_h</t>
        </is>
      </c>
      <c r="W10" s="4" t="inlineStr">
        <is>
          <t>Início Original</t>
        </is>
      </c>
      <c r="X10" s="4" t="inlineStr">
        <is>
          <t>Fim Original</t>
        </is>
      </c>
      <c r="Y10" s="4" t="inlineStr">
        <is>
          <t>Observação</t>
        </is>
      </c>
    </row>
    <row r="11" ht="22" customHeight="1">
      <c r="A11" s="53" t="inlineStr">
        <is>
          <t>Unidade:</t>
        </is>
      </c>
      <c r="B11" s="54" t="inlineStr">
        <is>
          <t>PURAN</t>
        </is>
      </c>
      <c r="C11" s="19" t="inlineStr">
        <is>
          <t>25 mcg</t>
        </is>
      </c>
      <c r="D11" s="19" t="n">
        <v>1000</v>
      </c>
      <c r="E11" s="19" t="inlineStr">
        <is>
          <t>COMP</t>
        </is>
      </c>
      <c r="F11" s="19" t="n">
        <v>200</v>
      </c>
      <c r="G11" s="19" t="inlineStr">
        <is>
          <t>FETTE 2090</t>
        </is>
      </c>
      <c r="H11" s="19" t="n">
        <v>1</v>
      </c>
      <c r="I11" s="20" t="n">
        <v>46259.20833333334</v>
      </c>
      <c r="J11" s="21" t="n">
        <v>500</v>
      </c>
      <c r="K11" s="21" t="n">
        <v>0.85</v>
      </c>
      <c r="L11" s="21" t="n">
        <v>425</v>
      </c>
      <c r="M11" s="21" t="n">
        <v>0.47</v>
      </c>
      <c r="N11" s="21" t="n">
        <v>0.5</v>
      </c>
      <c r="O11" s="21" t="n">
        <v>0.97</v>
      </c>
      <c r="P11" s="22" t="n">
        <v>1</v>
      </c>
      <c r="Q11" s="22" t="n">
        <v>46259.20833333334</v>
      </c>
      <c r="R11" s="22" t="n">
        <v>46259.25</v>
      </c>
      <c r="S11" s="19" t="inlineStr">
        <is>
          <t>PLANEJADO</t>
        </is>
      </c>
      <c r="T11" s="21" t="n">
        <v>0</v>
      </c>
      <c r="U11" s="21" t="n">
        <v>0</v>
      </c>
      <c r="V11" s="19" t="n">
        <v>0</v>
      </c>
      <c r="W11" s="19" t="inlineStr"/>
      <c r="X11" s="19" t="inlineStr"/>
      <c r="Y11" s="12" t="inlineStr"/>
    </row>
    <row r="12" ht="28" customHeight="1">
      <c r="A12" s="55" t="inlineStr">
        <is>
          <t>SALVAR OP</t>
        </is>
      </c>
      <c r="C12" s="56" t="inlineStr">
        <is>
          <t>CANCELAR</t>
        </is>
      </c>
    </row>
    <row r="14">
      <c r="A14" s="57" t="n"/>
    </row>
  </sheetData>
  <mergeCells count="11">
    <mergeCell ref="C12:D12"/>
    <mergeCell ref="A1:Z1"/>
    <mergeCell ref="A7:H7"/>
    <mergeCell ref="A8:C8"/>
    <mergeCell ref="A4:G4"/>
    <mergeCell ref="G8:I8"/>
    <mergeCell ref="A6:E6"/>
    <mergeCell ref="A2:Z2"/>
    <mergeCell ref="D8:F8"/>
    <mergeCell ref="A14:T14"/>
    <mergeCell ref="A12:B1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43" t="inlineStr">
        <is>
          <t>MÁQUINAS</t>
        </is>
      </c>
    </row>
    <row r="2" ht="20" customHeight="1">
      <c r="A2" s="28" t="inlineStr">
        <is>
          <t>Gestão de recursos produtivos</t>
        </is>
      </c>
    </row>
    <row r="4" ht="25" customHeight="1">
      <c r="A4" s="58" t="inlineStr">
        <is>
          <t>+ NOVA MÁQUINA</t>
        </is>
      </c>
      <c r="B4" s="41" t="n"/>
      <c r="C4" s="41" t="n"/>
      <c r="D4" s="41" t="n"/>
      <c r="E4" s="41" t="n"/>
      <c r="F4" s="42" t="n"/>
    </row>
    <row r="5" ht="22" customHeight="1">
      <c r="A5" s="50" t="inlineStr">
        <is>
          <t>Codigo:</t>
        </is>
      </c>
      <c r="B5" s="47" t="n"/>
    </row>
    <row r="6" ht="22" customHeight="1">
      <c r="A6" s="51" t="inlineStr">
        <is>
          <t>Nome:</t>
        </is>
      </c>
      <c r="B6" s="52" t="inlineStr">
        <is>
          <t>Velocidade</t>
        </is>
      </c>
      <c r="C6" s="4" t="inlineStr">
        <is>
          <t>Unidade Vel.</t>
        </is>
      </c>
      <c r="D6" s="4" t="inlineStr">
        <is>
          <t>OEE</t>
        </is>
      </c>
      <c r="E6" s="4" t="inlineStr">
        <is>
          <t>Setup (h)</t>
        </is>
      </c>
      <c r="F6" s="4" t="inlineStr">
        <is>
          <t>CpC</t>
        </is>
      </c>
      <c r="G6" s="4" t="inlineStr">
        <is>
          <t>Ativa</t>
        </is>
      </c>
      <c r="H6" s="4" t="inlineStr">
        <is>
          <t>Observação</t>
        </is>
      </c>
    </row>
    <row r="7" ht="22" customHeight="1">
      <c r="A7" s="53" t="inlineStr">
        <is>
          <t>Velocidade (cx/h):</t>
        </is>
      </c>
      <c r="B7" s="59" t="n">
        <v>500</v>
      </c>
      <c r="C7" s="21" t="inlineStr">
        <is>
          <t>cx/h</t>
        </is>
      </c>
      <c r="D7" s="24" t="n">
        <v>0.85</v>
      </c>
      <c r="E7" s="21" t="n">
        <v>0.5</v>
      </c>
      <c r="F7" s="21" t="n">
        <v>20</v>
      </c>
      <c r="G7" s="19" t="inlineStr">
        <is>
          <t>Sim</t>
        </is>
      </c>
      <c r="H7" s="19" t="inlineStr">
        <is>
          <t>Envelope</t>
        </is>
      </c>
    </row>
    <row r="8" ht="22" customHeight="1">
      <c r="A8" s="53" t="inlineStr">
        <is>
          <t>OEE (%):</t>
        </is>
      </c>
      <c r="B8" s="59" t="n">
        <v>450</v>
      </c>
      <c r="C8" s="21" t="inlineStr">
        <is>
          <t>cx/h</t>
        </is>
      </c>
      <c r="D8" s="24" t="n">
        <v>0.8</v>
      </c>
      <c r="E8" s="21" t="n">
        <v>0.5</v>
      </c>
      <c r="F8" s="21" t="n">
        <v>20</v>
      </c>
      <c r="G8" s="19" t="inlineStr">
        <is>
          <t>Sim</t>
        </is>
      </c>
      <c r="H8" s="19" t="inlineStr">
        <is>
          <t>Envelope</t>
        </is>
      </c>
    </row>
    <row r="9" ht="22" customHeight="1">
      <c r="A9" s="53" t="inlineStr">
        <is>
          <t>Setup (h):</t>
        </is>
      </c>
      <c r="B9" s="59" t="n">
        <v>600</v>
      </c>
      <c r="C9" s="21" t="inlineStr">
        <is>
          <t>cx/h</t>
        </is>
      </c>
      <c r="D9" s="24" t="n">
        <v>0.75</v>
      </c>
      <c r="E9" s="21" t="n">
        <v>0.5</v>
      </c>
      <c r="F9" s="21" t="n">
        <v>20</v>
      </c>
      <c r="G9" s="19" t="inlineStr">
        <is>
          <t>Sim</t>
        </is>
      </c>
      <c r="H9" s="19" t="inlineStr">
        <is>
          <t>Blister</t>
        </is>
      </c>
    </row>
    <row r="11" ht="28" customHeight="1">
      <c r="A11" s="55" t="inlineStr">
        <is>
          <t>SALVAR MAQUINA</t>
        </is>
      </c>
      <c r="C11" s="56" t="inlineStr">
        <is>
          <t>CANCELAR</t>
        </is>
      </c>
    </row>
    <row r="13">
      <c r="A13" s="57" t="n"/>
    </row>
  </sheetData>
  <mergeCells count="6">
    <mergeCell ref="A1:Z1"/>
    <mergeCell ref="C11:D11"/>
    <mergeCell ref="A11:B11"/>
    <mergeCell ref="A13:H13"/>
    <mergeCell ref="A4:F4"/>
    <mergeCell ref="A2:Z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U9"/>
  <sheetViews>
    <sheetView showGridLines="0" zoomScale="9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1" ht="30" customHeight="1">
      <c r="A1" s="43" t="inlineStr">
        <is>
          <t>PLANEJAMENTO DA PRODUÇÃO</t>
        </is>
      </c>
    </row>
    <row r="2" ht="20" customHeight="1">
      <c r="A2" s="28" t="inlineStr">
        <is>
          <t>Timeline visual e cards das OPs</t>
        </is>
      </c>
    </row>
    <row r="3">
      <c r="A3" s="60" t="n"/>
      <c r="B3" s="60" t="n"/>
      <c r="C3" s="60" t="n"/>
      <c r="D3" s="60" t="n"/>
      <c r="E3" s="60" t="n"/>
      <c r="F3" s="60" t="n"/>
      <c r="G3" s="60" t="n"/>
      <c r="H3" s="60" t="n"/>
      <c r="I3" s="60" t="n"/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0" t="n"/>
      <c r="Y3" s="60" t="n"/>
      <c r="Z3" s="60" t="n"/>
      <c r="AA3" s="60" t="n"/>
      <c r="AB3" s="60" t="n"/>
      <c r="AC3" s="60" t="n"/>
      <c r="AD3" s="60" t="n"/>
      <c r="AE3" s="60" t="n"/>
      <c r="AF3" s="60" t="n"/>
      <c r="AG3" s="60" t="n"/>
      <c r="AH3" s="60" t="n"/>
      <c r="AI3" s="60" t="n"/>
      <c r="AJ3" s="60" t="n"/>
      <c r="AK3" s="60" t="n"/>
      <c r="AL3" s="60" t="n"/>
      <c r="AM3" s="60" t="n"/>
      <c r="AN3" s="60" t="n"/>
      <c r="AO3" s="60" t="n"/>
      <c r="AP3" s="60" t="n"/>
      <c r="AQ3" s="60" t="n"/>
      <c r="AR3" s="60" t="n"/>
      <c r="AS3" s="60" t="n"/>
      <c r="AT3" s="60" t="n"/>
      <c r="AU3" s="60" t="n"/>
      <c r="AV3" s="60" t="n"/>
      <c r="AW3" s="60" t="n"/>
    </row>
    <row r="4" ht="25" customHeight="1">
      <c r="A4" s="18" t="inlineStr">
        <is>
          <t>🔄 RECALCULAR  ⚠ ATRASOS  🔧 EVENTOS  🍽 REFEIÇÕES  🏠 DASHBOARD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2" t="n"/>
    </row>
    <row r="6">
      <c r="A6" s="25" t="inlineStr">
        <is>
          <t>MÁQUINA</t>
        </is>
      </c>
      <c r="B6" s="25" t="inlineStr">
        <is>
          <t>05:00</t>
        </is>
      </c>
      <c r="C6" s="25" t="inlineStr">
        <is>
          <t>05:30</t>
        </is>
      </c>
      <c r="D6" s="25" t="inlineStr">
        <is>
          <t>06:00</t>
        </is>
      </c>
      <c r="E6" s="25" t="inlineStr">
        <is>
          <t>06:30</t>
        </is>
      </c>
      <c r="F6" s="25" t="inlineStr">
        <is>
          <t>07:00</t>
        </is>
      </c>
      <c r="G6" s="25" t="inlineStr">
        <is>
          <t>07:30</t>
        </is>
      </c>
      <c r="H6" s="25" t="inlineStr">
        <is>
          <t>08:00</t>
        </is>
      </c>
      <c r="I6" s="25" t="inlineStr">
        <is>
          <t>08:30</t>
        </is>
      </c>
      <c r="J6" s="25" t="inlineStr">
        <is>
          <t>09:00</t>
        </is>
      </c>
      <c r="K6" s="25" t="inlineStr">
        <is>
          <t>09:30</t>
        </is>
      </c>
      <c r="L6" s="25" t="inlineStr">
        <is>
          <t>10:00</t>
        </is>
      </c>
      <c r="M6" s="25" t="inlineStr">
        <is>
          <t>10:30</t>
        </is>
      </c>
      <c r="N6" s="25" t="inlineStr">
        <is>
          <t>11:00</t>
        </is>
      </c>
      <c r="O6" s="25" t="inlineStr">
        <is>
          <t>11:30</t>
        </is>
      </c>
      <c r="P6" s="25" t="inlineStr">
        <is>
          <t>12:00</t>
        </is>
      </c>
      <c r="Q6" s="25" t="inlineStr">
        <is>
          <t>12:30</t>
        </is>
      </c>
      <c r="R6" s="25" t="inlineStr">
        <is>
          <t>13:00</t>
        </is>
      </c>
      <c r="S6" s="25" t="inlineStr">
        <is>
          <t>13:30</t>
        </is>
      </c>
      <c r="T6" s="25" t="inlineStr">
        <is>
          <t>14:00</t>
        </is>
      </c>
      <c r="U6" s="25" t="inlineStr">
        <is>
          <t>14:30</t>
        </is>
      </c>
      <c r="V6" s="25" t="inlineStr">
        <is>
          <t>15:00</t>
        </is>
      </c>
      <c r="W6" s="25" t="inlineStr">
        <is>
          <t>15:30</t>
        </is>
      </c>
      <c r="X6" s="25" t="inlineStr">
        <is>
          <t>16:00</t>
        </is>
      </c>
      <c r="Y6" s="25" t="inlineStr">
        <is>
          <t>16:30</t>
        </is>
      </c>
      <c r="Z6" s="25" t="inlineStr">
        <is>
          <t>17:00</t>
        </is>
      </c>
      <c r="AA6" s="25" t="inlineStr">
        <is>
          <t>17:30</t>
        </is>
      </c>
      <c r="AB6" s="25" t="inlineStr">
        <is>
          <t>18:00</t>
        </is>
      </c>
      <c r="AC6" s="25" t="inlineStr">
        <is>
          <t>18:30</t>
        </is>
      </c>
      <c r="AD6" s="25" t="inlineStr">
        <is>
          <t>19:00</t>
        </is>
      </c>
      <c r="AE6" s="25" t="inlineStr">
        <is>
          <t>19:30</t>
        </is>
      </c>
      <c r="AF6" s="25" t="inlineStr">
        <is>
          <t>20:00</t>
        </is>
      </c>
      <c r="AG6" s="25" t="inlineStr">
        <is>
          <t>20:30</t>
        </is>
      </c>
      <c r="AH6" s="25" t="inlineStr">
        <is>
          <t>21:00</t>
        </is>
      </c>
      <c r="AI6" s="25" t="inlineStr">
        <is>
          <t>21:30</t>
        </is>
      </c>
      <c r="AJ6" s="25" t="inlineStr">
        <is>
          <t>22:00</t>
        </is>
      </c>
      <c r="AK6" s="25" t="inlineStr">
        <is>
          <t>22:30</t>
        </is>
      </c>
      <c r="AL6" s="25" t="inlineStr">
        <is>
          <t>23:00</t>
        </is>
      </c>
      <c r="AM6" s="25" t="inlineStr">
        <is>
          <t>23:30</t>
        </is>
      </c>
      <c r="AN6" s="25" t="inlineStr">
        <is>
          <t>00:00</t>
        </is>
      </c>
      <c r="AO6" s="25" t="inlineStr">
        <is>
          <t>00:30</t>
        </is>
      </c>
      <c r="AP6" s="25" t="inlineStr">
        <is>
          <t>01:00</t>
        </is>
      </c>
      <c r="AQ6" s="25" t="inlineStr">
        <is>
          <t>01:30</t>
        </is>
      </c>
      <c r="AR6" s="25" t="inlineStr">
        <is>
          <t>02:00</t>
        </is>
      </c>
      <c r="AS6" s="25" t="inlineStr">
        <is>
          <t>02:30</t>
        </is>
      </c>
      <c r="AT6" s="25" t="inlineStr">
        <is>
          <t>03:00</t>
        </is>
      </c>
      <c r="AU6" s="25" t="inlineStr">
        <is>
          <t>03:30</t>
        </is>
      </c>
      <c r="AV6" s="25" t="inlineStr">
        <is>
          <t>04:00</t>
        </is>
      </c>
      <c r="AW6" s="25" t="inlineStr">
        <is>
          <t>04:30</t>
        </is>
      </c>
    </row>
    <row r="7" ht="60" customHeight="1">
      <c r="A7" s="26" t="inlineStr">
        <is>
          <t>FETTE 2090</t>
        </is>
      </c>
    </row>
    <row r="8" ht="60" customHeight="1">
      <c r="A8" s="26" t="inlineStr">
        <is>
          <t>FETTE 2</t>
        </is>
      </c>
    </row>
    <row r="9" ht="60" customHeight="1">
      <c r="A9" s="26" t="inlineStr">
        <is>
          <t>MEDISEAL</t>
        </is>
      </c>
    </row>
  </sheetData>
  <mergeCells count="5">
    <mergeCell ref="A2:CU2"/>
    <mergeCell ref="A1:Z1"/>
    <mergeCell ref="A1:CU1"/>
    <mergeCell ref="A4:P4"/>
    <mergeCell ref="A2:Z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2026-08-23T05:43:06Z</dcterms:created>
  <dcterms:modified xsi:type="dcterms:W3CDTF">2026-08-23T17:23:00Z</dcterms:modified>
</cp:coreProperties>
</file>